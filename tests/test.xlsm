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cg\Desktop\axl\tests\"/>
    </mc:Choice>
  </mc:AlternateContent>
  <bookViews>
    <workbookView xWindow="0" yWindow="0" windowWidth="17715" windowHeight="7740" xr2:uid="{00000000-000D-0000-FFFF-FFFF00000000}"/>
  </bookViews>
  <sheets>
    <sheet name="Sheet1" sheetId="1" r:id="rId1"/>
  </sheets>
  <externalReferences>
    <externalReference r:id="rId2"/>
  </externalReferences>
  <calcPr calcId="171027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9" i="1" l="1"/>
  <c r="G39" i="1"/>
  <c r="F39" i="1"/>
  <c r="H38" i="1"/>
  <c r="G38" i="1"/>
  <c r="F38" i="1"/>
  <c r="H37" i="1"/>
  <c r="G37" i="1"/>
  <c r="F37" i="1"/>
  <c r="A34" i="1"/>
  <c r="A4" i="1"/>
  <c r="A3" i="1"/>
  <c r="A2" i="1"/>
  <c r="G3" i="1"/>
  <c r="A8" i="1"/>
  <c r="A7" i="1"/>
  <c r="A27" i="1"/>
  <c r="A26" i="1"/>
  <c r="A25" i="1"/>
  <c r="A24" i="1"/>
  <c r="A23" i="1"/>
  <c r="A22" i="1"/>
  <c r="A20" i="1"/>
  <c r="A19" i="1"/>
  <c r="A18" i="1"/>
  <c r="A17" i="1"/>
  <c r="A16" i="1"/>
  <c r="A15" i="1"/>
  <c r="A14" i="1"/>
  <c r="A12" i="1"/>
  <c r="A11" i="1"/>
  <c r="A10" i="1"/>
  <c r="A9" i="1"/>
  <c r="B42" i="1" a="1"/>
  <c r="F42" i="1" a="1"/>
  <c r="B22" i="1"/>
  <c r="G4" i="1"/>
  <c r="B4" i="1"/>
  <c r="G2" i="1"/>
  <c r="A30" i="1" a="1"/>
  <c r="D29" i="1" a="1"/>
  <c r="X23" i="1" a="1"/>
  <c r="X23" i="1" l="1"/>
  <c r="Y23" i="1"/>
  <c r="X24" i="1"/>
  <c r="Y24" i="1"/>
  <c r="X25" i="1"/>
  <c r="Y25" i="1"/>
  <c r="X26" i="1"/>
  <c r="Y26" i="1"/>
  <c r="X27" i="1"/>
  <c r="Y27" i="1"/>
  <c r="X28" i="1"/>
  <c r="Y28" i="1"/>
  <c r="X29" i="1"/>
  <c r="Y29" i="1"/>
  <c r="X30" i="1"/>
  <c r="Y30" i="1"/>
  <c r="X31" i="1"/>
  <c r="Y31" i="1"/>
  <c r="X32" i="1"/>
  <c r="Y32" i="1"/>
  <c r="X22" i="1"/>
  <c r="Z22" i="1"/>
  <c r="D29" i="1"/>
  <c r="E29" i="1"/>
  <c r="D30" i="1"/>
  <c r="E30" i="1"/>
  <c r="D31" i="1"/>
  <c r="E31" i="1"/>
  <c r="D32" i="1"/>
  <c r="E32" i="1"/>
  <c r="A30" i="1"/>
  <c r="B30" i="1"/>
  <c r="A31" i="1"/>
  <c r="B31" i="1"/>
  <c r="A32" i="1"/>
  <c r="B32" i="1"/>
  <c r="L22" i="1"/>
  <c r="O22" i="1"/>
  <c r="R22" i="1"/>
  <c r="U22" i="1"/>
  <c r="F42" i="1"/>
  <c r="G42" i="1"/>
  <c r="H42" i="1"/>
  <c r="F43" i="1"/>
  <c r="G43" i="1"/>
  <c r="H43" i="1"/>
  <c r="F44" i="1"/>
  <c r="G44" i="1"/>
  <c r="H44" i="1"/>
  <c r="B42" i="1"/>
  <c r="C42" i="1"/>
  <c r="D42" i="1"/>
  <c r="B43" i="1"/>
  <c r="C43" i="1"/>
  <c r="D43" i="1"/>
  <c r="B44" i="1"/>
  <c r="C44" i="1"/>
  <c r="D44" i="1"/>
  <c r="B2" i="1"/>
  <c r="B3" i="1"/>
  <c r="G15" i="1" a="1"/>
  <c r="G16" i="1" a="1"/>
  <c r="L23" i="1" a="1"/>
  <c r="G17" i="1" a="1"/>
  <c r="G18" i="1" a="1"/>
  <c r="J17" i="1" a="1"/>
  <c r="L14" i="1" a="1"/>
  <c r="K18" i="1" a="1"/>
  <c r="O23" i="1" a="1"/>
  <c r="R23" i="1" a="1"/>
  <c r="U23" i="1" a="1"/>
  <c r="Z23" i="1" a="1"/>
  <c r="G7" i="1" a="1"/>
  <c r="G8" i="1" a="1"/>
  <c r="B8" i="1"/>
  <c r="B9" i="1"/>
  <c r="B10" i="1"/>
  <c r="B11" i="1"/>
  <c r="B12" i="1"/>
  <c r="B14" i="1"/>
  <c r="B15" i="1"/>
  <c r="B16" i="1"/>
  <c r="B17" i="1"/>
  <c r="B18" i="1"/>
  <c r="B19" i="1"/>
  <c r="B20" i="1"/>
  <c r="B23" i="1"/>
  <c r="B24" i="1"/>
  <c r="B25" i="1"/>
  <c r="B26" i="1"/>
  <c r="B27" i="1"/>
  <c r="B7" i="1"/>
  <c r="L23" i="1" l="1"/>
  <c r="M23" i="1"/>
  <c r="N23" i="1"/>
  <c r="L24" i="1"/>
  <c r="M24" i="1"/>
  <c r="N24" i="1"/>
  <c r="L25" i="1"/>
  <c r="M25" i="1"/>
  <c r="N25" i="1"/>
  <c r="L26" i="1"/>
  <c r="M26" i="1"/>
  <c r="N26" i="1"/>
  <c r="L27" i="1"/>
  <c r="M27" i="1"/>
  <c r="N27" i="1"/>
  <c r="L28" i="1"/>
  <c r="M28" i="1"/>
  <c r="N28" i="1"/>
  <c r="G16" i="1"/>
  <c r="H16" i="1"/>
  <c r="I16" i="1"/>
  <c r="G15" i="1"/>
  <c r="H15" i="1"/>
  <c r="I15" i="1"/>
  <c r="J17" i="1"/>
  <c r="J18" i="1"/>
  <c r="J19" i="1"/>
  <c r="H18" i="1"/>
  <c r="G18" i="1"/>
  <c r="G17" i="1"/>
  <c r="H17" i="1"/>
  <c r="G8" i="1"/>
  <c r="H8" i="1"/>
  <c r="I8" i="1"/>
  <c r="J8" i="1"/>
  <c r="K8" i="1"/>
  <c r="L8" i="1"/>
  <c r="M8" i="1"/>
  <c r="G7" i="1"/>
  <c r="H7" i="1"/>
  <c r="I7" i="1"/>
  <c r="J7" i="1"/>
  <c r="K7" i="1"/>
  <c r="L7" i="1"/>
  <c r="M7" i="1"/>
  <c r="Z23" i="1"/>
  <c r="AA23" i="1"/>
  <c r="Z24" i="1"/>
  <c r="AA24" i="1"/>
  <c r="Z25" i="1"/>
  <c r="AA25" i="1"/>
  <c r="Z26" i="1"/>
  <c r="AA26" i="1"/>
  <c r="Z27" i="1"/>
  <c r="AA27" i="1"/>
  <c r="Z28" i="1"/>
  <c r="AA28" i="1"/>
  <c r="Z29" i="1"/>
  <c r="AA29" i="1"/>
  <c r="Z30" i="1"/>
  <c r="AA30" i="1"/>
  <c r="Z31" i="1"/>
  <c r="AA31" i="1"/>
  <c r="Z32" i="1"/>
  <c r="AA32" i="1"/>
  <c r="U23" i="1"/>
  <c r="V23" i="1"/>
  <c r="W23" i="1"/>
  <c r="U24" i="1"/>
  <c r="V24" i="1"/>
  <c r="W24" i="1"/>
  <c r="U25" i="1"/>
  <c r="V25" i="1"/>
  <c r="W25" i="1"/>
  <c r="U26" i="1"/>
  <c r="V26" i="1"/>
  <c r="W26" i="1"/>
  <c r="R23" i="1"/>
  <c r="S23" i="1"/>
  <c r="T23" i="1"/>
  <c r="R24" i="1"/>
  <c r="S24" i="1"/>
  <c r="T24" i="1"/>
  <c r="R25" i="1"/>
  <c r="S25" i="1"/>
  <c r="T25" i="1"/>
  <c r="R26" i="1"/>
  <c r="S26" i="1"/>
  <c r="T26" i="1"/>
  <c r="O23" i="1"/>
  <c r="P23" i="1"/>
  <c r="Q23" i="1"/>
  <c r="O24" i="1"/>
  <c r="P24" i="1"/>
  <c r="Q24" i="1"/>
  <c r="O25" i="1"/>
  <c r="P25" i="1"/>
  <c r="Q25" i="1"/>
  <c r="O26" i="1"/>
  <c r="P26" i="1"/>
  <c r="Q26" i="1"/>
  <c r="K18" i="1"/>
  <c r="K19" i="1"/>
  <c r="K20" i="1"/>
  <c r="L14" i="1"/>
  <c r="M14" i="1"/>
  <c r="N14" i="1"/>
  <c r="L15" i="1"/>
  <c r="M15" i="1"/>
  <c r="N15" i="1"/>
  <c r="L16" i="1"/>
  <c r="M16" i="1"/>
  <c r="N16" i="1"/>
</calcChain>
</file>

<file path=xl/sharedStrings.xml><?xml version="1.0" encoding="utf-8"?>
<sst xmlns="http://schemas.openxmlformats.org/spreadsheetml/2006/main" count="25" uniqueCount="17">
  <si>
    <t>A</t>
  </si>
  <si>
    <t>B</t>
  </si>
  <si>
    <t>C</t>
  </si>
  <si>
    <t>X</t>
  </si>
  <si>
    <t>Y</t>
  </si>
  <si>
    <t>Z</t>
  </si>
  <si>
    <t>SQ</t>
  </si>
  <si>
    <t>Formula</t>
  </si>
  <si>
    <t>Repr</t>
  </si>
  <si>
    <t>Basic data types</t>
  </si>
  <si>
    <t>Standard containers</t>
  </si>
  <si>
    <t>NumPy Arrays</t>
  </si>
  <si>
    <t>Pandas DataFrames</t>
  </si>
  <si>
    <t>Input data</t>
  </si>
  <si>
    <t>PyLog call</t>
  </si>
  <si>
    <t>DFColsExclude</t>
  </si>
  <si>
    <t>DFCols (sorted by X, descending)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</si>
</sst>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h:mm;@"/>
  </numFmts>
  <fonts count="2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/>
    <xf numFmtId="0" fontId="0" fillId="0" borderId="0" xfId="0" applyAlignment="1"/>
    <xf numFmtId="0" fontId="0" fillId="0" borderId="0" xfId="0" applyAlignment="1"/>
    <xf numFmtId="14" fontId="0" fillId="0" borderId="0" xfId="0" applyNumberFormat="1"/>
    <xf numFmtId="14" fontId="0" fillId="0" borderId="0" xfId="0" applyNumberFormat="1" applyAlignment="1"/>
    <xf numFmtId="0" fontId="1" fillId="0" borderId="0" xfId="0" applyFont="1"/>
    <xf numFmtId="165" fontId="0" fillId="0" borderId="0" xfId="0" applyNumberFormat="1"/>
    <xf numFmtId="14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0" fontId="1" fillId="0" borderId="0" xfId="0" applyFont="1" applyAlignment="1"/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cg/Miniconda3/envs/axltest/axl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ColDF"/>
      <definedName name="ColV"/>
      <definedName name="DFCols"/>
      <definedName name="DFColsExclude"/>
      <definedName name="Dict"/>
      <definedName name="L"/>
      <definedName name="List"/>
      <definedName name="MatDF"/>
      <definedName name="Matrix"/>
      <definedName name="P"/>
      <definedName name="PyLog"/>
      <definedName name="PySave"/>
      <definedName name="Repr"/>
      <definedName name="RowDF"/>
      <definedName name="RowV"/>
      <definedName name="Slice"/>
      <definedName name="Tuple"/>
      <definedName name="Vecto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44"/>
  <sheetViews>
    <sheetView tabSelected="1" zoomScaleNormal="100" workbookViewId="0">
      <selection activeCell="A34" sqref="A34:XFD34"/>
    </sheetView>
  </sheetViews>
  <sheetFormatPr defaultRowHeight="14.25" x14ac:dyDescent="0.45"/>
  <cols>
    <col min="1" max="1" width="26" customWidth="1"/>
    <col min="4" max="4" width="9.19921875" bestFit="1" customWidth="1"/>
    <col min="5" max="5" width="9.86328125" customWidth="1"/>
    <col min="7" max="7" width="10.19921875" bestFit="1" customWidth="1"/>
    <col min="9" max="10" width="9.9296875" bestFit="1" customWidth="1"/>
    <col min="11" max="11" width="9.19921875" bestFit="1" customWidth="1"/>
  </cols>
  <sheetData>
    <row r="1" spans="1:14" x14ac:dyDescent="0.45">
      <c r="A1" s="6" t="s">
        <v>9</v>
      </c>
    </row>
    <row r="2" spans="1:14" x14ac:dyDescent="0.45">
      <c r="A2" t="str">
        <f>[1]!PySave("String", F36)</f>
        <v>String</v>
      </c>
      <c r="B2" t="str">
        <f>[1]!Repr([1]!L(A2))</f>
        <v>'SQ'</v>
      </c>
      <c r="G2" s="3" t="str">
        <f>[1]!P([1]!L(A2))</f>
        <v>SQ</v>
      </c>
    </row>
    <row r="3" spans="1:14" x14ac:dyDescent="0.45">
      <c r="A3" t="str">
        <f>[1]!PySave("Number",H39)</f>
        <v>Number</v>
      </c>
      <c r="B3" t="str">
        <f>[1]!Repr([1]!L(A3))</f>
        <v>81.0</v>
      </c>
      <c r="G3" s="3">
        <f>[1]!P([1]!L(A3))</f>
        <v>81</v>
      </c>
      <c r="K3" s="4"/>
      <c r="L3" s="7"/>
    </row>
    <row r="4" spans="1:14" x14ac:dyDescent="0.45">
      <c r="A4" s="4" t="str">
        <f>[1]!PySave("Date",A41)</f>
        <v>Date</v>
      </c>
      <c r="B4" t="str">
        <f>[1]!Repr([1]!L(A4))</f>
        <v>datetime.datetime(2012, 12, 31, 0, 0)</v>
      </c>
      <c r="G4" s="5">
        <f>[1]!P([1]!L(A4))</f>
        <v>41274</v>
      </c>
      <c r="I4" s="4"/>
      <c r="K4" s="4"/>
    </row>
    <row r="5" spans="1:14" x14ac:dyDescent="0.45">
      <c r="A5" s="6" t="s">
        <v>10</v>
      </c>
    </row>
    <row r="6" spans="1:14" x14ac:dyDescent="0.45">
      <c r="A6" t="s">
        <v>7</v>
      </c>
      <c r="B6" t="s">
        <v>8</v>
      </c>
    </row>
    <row r="7" spans="1:14" s="1" customFormat="1" x14ac:dyDescent="0.45">
      <c r="A7" t="str">
        <f>[1]!PySave("Tuple",[1]!Tuple(A37,B37,C37,D37,F37,G37,H37))</f>
        <v>Tuple</v>
      </c>
      <c r="B7" t="str">
        <f>[1]!Repr([1]!L(A7))</f>
        <v>('A', 1.0, 2.0, 3.0, 1.0, 4.0, 9.0)</v>
      </c>
      <c r="G7" s="1" t="str">
        <f t="array" ref="G7:M7">[1]!P([1]!L(A7))</f>
        <v>A</v>
      </c>
      <c r="H7" s="1">
        <v>1</v>
      </c>
      <c r="I7" s="1">
        <v>2</v>
      </c>
      <c r="J7" s="1">
        <v>3</v>
      </c>
      <c r="K7" s="1">
        <v>1</v>
      </c>
      <c r="L7" s="1">
        <v>4</v>
      </c>
      <c r="M7" s="1">
        <v>9</v>
      </c>
    </row>
    <row r="8" spans="1:14" x14ac:dyDescent="0.45">
      <c r="A8" t="str">
        <f>[1]!PySave("List",[1]!List(A38,B38,C38,D38,F38,G38,H38))</f>
        <v>List</v>
      </c>
      <c r="B8" t="str">
        <f>[1]!Repr([1]!L(A8))</f>
        <v>['B', 4.0, 5.0, 6.0, 16.0, 25.0, 36.0]</v>
      </c>
      <c r="G8" s="2" t="str">
        <f t="array" ref="G8:M8">[1]!P([1]!L(A8))</f>
        <v>B</v>
      </c>
      <c r="H8">
        <v>4</v>
      </c>
      <c r="I8">
        <v>5</v>
      </c>
      <c r="J8">
        <v>6</v>
      </c>
      <c r="K8">
        <v>16</v>
      </c>
      <c r="L8">
        <v>25</v>
      </c>
      <c r="M8">
        <v>36</v>
      </c>
    </row>
    <row r="9" spans="1:14" x14ac:dyDescent="0.45">
      <c r="A9" t="str">
        <f>[1]!PySave("Slice",[1]!Slice(B37,B38,C37))</f>
        <v>Slice</v>
      </c>
      <c r="B9" t="str">
        <f>[1]!Repr([1]!L(A9))</f>
        <v>slice(1.0, 4.0, 2.0)</v>
      </c>
    </row>
    <row r="10" spans="1:14" x14ac:dyDescent="0.45">
      <c r="A10" t="str">
        <f>[1]!PySave("Dict (alternating args)",[1]!Dict(A37,B37,A38,B38,A39,[1]!Tuple(B39,C39)))</f>
        <v>Dict (alternating args)</v>
      </c>
      <c r="B10" t="str">
        <f>[1]!Repr([1]!L(A10))</f>
        <v>{'A': 1.0, 'B': 4.0, 'C': (7.0, 8.0)}</v>
      </c>
    </row>
    <row r="11" spans="1:14" x14ac:dyDescent="0.45">
      <c r="A11" t="str">
        <f>[1]!PySave("Dict (by rows)",[1]!Dict(A37:B39))</f>
        <v>Dict (by rows)</v>
      </c>
      <c r="B11" t="str">
        <f>[1]!Repr([1]!L(A11))</f>
        <v>{'A': 1.0, 'B': 4.0, 'C': 7.0}</v>
      </c>
    </row>
    <row r="12" spans="1:14" x14ac:dyDescent="0.45">
      <c r="A12" t="str">
        <f>[1]!PySave("Dict (two vectors)",[1]!Dict(B36:D36,B37:D37))</f>
        <v>Dict (two vectors)</v>
      </c>
      <c r="B12" t="str">
        <f>[1]!Repr([1]!L(A12))</f>
        <v>{'X': 1.0, 'Y': 2.0, 'Z': 3.0}</v>
      </c>
    </row>
    <row r="13" spans="1:14" x14ac:dyDescent="0.45">
      <c r="A13" s="6" t="s">
        <v>11</v>
      </c>
    </row>
    <row r="14" spans="1:14" x14ac:dyDescent="0.45">
      <c r="A14" t="str">
        <f>[1]!PySave("Matrix", [1]!Matrix(B37:D39))</f>
        <v>Matrix</v>
      </c>
      <c r="B14" t="str">
        <f>[1]!Repr([1]!L(A14))</f>
        <v>matrix([[1., 2., 3.],
        [4., 5., 6.],
        [7., 8., 9.]])</v>
      </c>
      <c r="L14">
        <f t="array" ref="L14:N16">[1]!P([1]!L(A14))</f>
        <v>1</v>
      </c>
      <c r="M14">
        <v>2</v>
      </c>
      <c r="N14">
        <v>3</v>
      </c>
    </row>
    <row r="15" spans="1:14" x14ac:dyDescent="0.45">
      <c r="A15" t="str">
        <f>[1]!PySave("Vector (from row)",[1]!Vector(B36:D36))</f>
        <v>Vector (from row)</v>
      </c>
      <c r="B15" t="str">
        <f>[1]!Repr([1]!L(A15))</f>
        <v>array(['X', 'Y', 'Z'], dtype='&lt;U1')</v>
      </c>
      <c r="G15" t="str">
        <f t="array" ref="G15:I15">[1]!P([1]!L(A15))</f>
        <v>X</v>
      </c>
      <c r="H15" t="str">
        <v>Y</v>
      </c>
      <c r="I15" t="str">
        <v>Z</v>
      </c>
      <c r="L15">
        <v>4</v>
      </c>
      <c r="M15">
        <v>5</v>
      </c>
      <c r="N15">
        <v>6</v>
      </c>
    </row>
    <row r="16" spans="1:14" x14ac:dyDescent="0.45">
      <c r="A16" t="str">
        <f>[1]!PySave("Vector (from col)",[1]!Vector(B37:B39))</f>
        <v>Vector (from col)</v>
      </c>
      <c r="B16" t="str">
        <f>[1]!Repr([1]!L(A16))</f>
        <v>array([1., 4., 7.])</v>
      </c>
      <c r="G16">
        <f t="array" ref="G16:I16">[1]!P([1]!L(A16))</f>
        <v>1</v>
      </c>
      <c r="H16">
        <v>4</v>
      </c>
      <c r="I16">
        <v>7</v>
      </c>
      <c r="L16">
        <v>7</v>
      </c>
      <c r="M16">
        <v>8</v>
      </c>
      <c r="N16">
        <v>9</v>
      </c>
    </row>
    <row r="17" spans="1:27" x14ac:dyDescent="0.45">
      <c r="A17" t="str">
        <f>[1]!PySave("RowV (from col)",[1]!RowV(A37:A38))</f>
        <v>RowV (from col)</v>
      </c>
      <c r="B17" t="str">
        <f>[1]!Repr([1]!L(A17))</f>
        <v>array([['A', 'B']], dtype='&lt;U1')</v>
      </c>
      <c r="G17" t="str">
        <f t="array" ref="G17:H17">[1]!P([1]!L(A17))</f>
        <v>A</v>
      </c>
      <c r="H17" t="str">
        <v>B</v>
      </c>
      <c r="J17">
        <f t="array" ref="J17:J19">[1]!P([1]!L(A19))</f>
        <v>1</v>
      </c>
    </row>
    <row r="18" spans="1:27" x14ac:dyDescent="0.45">
      <c r="A18" t="str">
        <f>[1]!PySave("RowV (from row)",[1]!RowV(A37:B37))</f>
        <v>RowV (from row)</v>
      </c>
      <c r="B18" t="str">
        <f>[1]!Repr([1]!L(A18))</f>
        <v>array([['A', '1.0']], dtype='&lt;U3')</v>
      </c>
      <c r="G18" t="str">
        <f t="array" ref="G18:H18">[1]!P([1]!L(A18))</f>
        <v>A</v>
      </c>
      <c r="H18" t="str">
        <v>1.0</v>
      </c>
      <c r="J18">
        <v>4</v>
      </c>
      <c r="K18">
        <f t="array" ref="K18:K20">[1]!P([1]!L(A20))</f>
        <v>4</v>
      </c>
    </row>
    <row r="19" spans="1:27" x14ac:dyDescent="0.45">
      <c r="A19" t="str">
        <f>[1]!PySave("ColV (from col)",[1]!ColV(B37:B39))</f>
        <v>ColV (from col)</v>
      </c>
      <c r="B19" t="str">
        <f>[1]!Repr([1]!L(A19))</f>
        <v>array([[1.],
       [4.],
       [7.]])</v>
      </c>
      <c r="J19">
        <v>7</v>
      </c>
      <c r="K19">
        <v>5</v>
      </c>
    </row>
    <row r="20" spans="1:27" x14ac:dyDescent="0.45">
      <c r="A20" t="str">
        <f>[1]!PySave("ColV (from row)",[1]!ColV(B38:D38))</f>
        <v>ColV (from row)</v>
      </c>
      <c r="B20" t="str">
        <f>[1]!Repr([1]!L(A20))</f>
        <v>array([[4.],
       [5.],
       [6.]])</v>
      </c>
      <c r="K20">
        <v>6</v>
      </c>
    </row>
    <row r="21" spans="1:27" x14ac:dyDescent="0.45">
      <c r="A21" s="6" t="s">
        <v>12</v>
      </c>
    </row>
    <row r="22" spans="1:27" x14ac:dyDescent="0.45">
      <c r="A22" t="str">
        <f>[1]!PySave("ColDF", [1]!ColDF(B36:D39))</f>
        <v>ColDF</v>
      </c>
      <c r="B22" t="str">
        <f>[1]!Repr([1]!L(A22))</f>
        <v xml:space="preserve">     X    Y    Z
0  1.0  2.0  3.0
1  4.0  5.0  6.0
2  7.0  8.0  9.0</v>
      </c>
      <c r="L22" t="str">
        <f>A22</f>
        <v>ColDF</v>
      </c>
      <c r="O22" t="str">
        <f>A23</f>
        <v>RowDF</v>
      </c>
      <c r="R22" t="str">
        <f>A24</f>
        <v>ColDF (labels)</v>
      </c>
      <c r="U22" t="str">
        <f>A25</f>
        <v>RowDF (labels)</v>
      </c>
      <c r="X22" t="str">
        <f>A26</f>
        <v>MatDF</v>
      </c>
      <c r="Z22" t="str">
        <f>A27</f>
        <v>MatDF (labels)</v>
      </c>
    </row>
    <row r="23" spans="1:27" x14ac:dyDescent="0.45">
      <c r="A23" t="str">
        <f>[1]!PySave("RowDF",[1]!RowDF(A37:D39))</f>
        <v>RowDF</v>
      </c>
      <c r="B23" t="str">
        <f>[1]!Repr([1]!L(A23))</f>
        <v xml:space="preserve">     A    B    C
0  1.0  4.0  7.0
1  2.0  5.0  8.0
2  3.0  6.0  9.0</v>
      </c>
      <c r="L23" t="str">
        <f t="array" ref="L23:N28">[1]!P([1]!L(A22))</f>
        <v>X</v>
      </c>
      <c r="M23" t="str">
        <v>Y</v>
      </c>
      <c r="N23" t="str">
        <v>Z</v>
      </c>
      <c r="O23" t="str">
        <f t="array" ref="O23:Q26">[1]!P([1]!L(A23))</f>
        <v>A</v>
      </c>
      <c r="P23" t="str">
        <v>B</v>
      </c>
      <c r="Q23" t="str">
        <v>C</v>
      </c>
      <c r="R23" t="str">
        <f t="array" ref="R23:T26">[1]!P([1]!L(A24))</f>
        <v>X</v>
      </c>
      <c r="S23" t="str">
        <v>Y</v>
      </c>
      <c r="T23" t="str">
        <v>Z</v>
      </c>
      <c r="U23" t="str">
        <f t="array" ref="U23:W26">[1]!P([1]!L(A25))</f>
        <v>A</v>
      </c>
      <c r="V23" t="str">
        <v>B</v>
      </c>
      <c r="W23" t="str">
        <v>C</v>
      </c>
      <c r="X23" t="str">
        <f t="array" ref="X23:Y32">[1]!P([1]!L(A26))</f>
        <v>X</v>
      </c>
      <c r="Y23" t="str">
        <v>SQ</v>
      </c>
      <c r="Z23" t="str">
        <f t="array" ref="Z23:AA32">[1]!P([1]!L(A27))</f>
        <v>X</v>
      </c>
      <c r="AA23" t="str">
        <v>Y</v>
      </c>
    </row>
    <row r="24" spans="1:27" x14ac:dyDescent="0.45">
      <c r="A24" t="str">
        <f>[1]!PySave("ColDF (labels)",[1]!ColDF(B37:D39,B36:D36))</f>
        <v>ColDF (labels)</v>
      </c>
      <c r="B24" t="str">
        <f>[1]!Repr([1]!L(A24))</f>
        <v xml:space="preserve">     X    Y    Z
0  1.0  2.0  3.0
1  4.0  5.0  6.0
2  7.0  8.0  9.0</v>
      </c>
      <c r="L24">
        <v>1</v>
      </c>
      <c r="M24">
        <v>2</v>
      </c>
      <c r="N24">
        <v>3</v>
      </c>
      <c r="O24">
        <v>1</v>
      </c>
      <c r="P24">
        <v>4</v>
      </c>
      <c r="Q24">
        <v>7</v>
      </c>
      <c r="R24">
        <v>1</v>
      </c>
      <c r="S24">
        <v>2</v>
      </c>
      <c r="T24">
        <v>3</v>
      </c>
      <c r="U24">
        <v>1</v>
      </c>
      <c r="V24">
        <v>4</v>
      </c>
      <c r="W24">
        <v>7</v>
      </c>
      <c r="X24">
        <v>1</v>
      </c>
      <c r="Y24">
        <v>1</v>
      </c>
      <c r="Z24">
        <v>1</v>
      </c>
      <c r="AA24">
        <v>1</v>
      </c>
    </row>
    <row r="25" spans="1:27" x14ac:dyDescent="0.45">
      <c r="A25" t="str">
        <f>[1]!PySave("RowDF (labels)",[1]!RowDF(B37:D39,A37:A39))</f>
        <v>RowDF (labels)</v>
      </c>
      <c r="B25" t="str">
        <f>[1]!Repr([1]!L(A25))</f>
        <v xml:space="preserve">     A    B    C
0  1.0  4.0  7.0
1  2.0  5.0  8.0
2  3.0  6.0  9.0</v>
      </c>
      <c r="L25">
        <v>4</v>
      </c>
      <c r="M25">
        <v>5</v>
      </c>
      <c r="N25">
        <v>6</v>
      </c>
      <c r="O25">
        <v>2</v>
      </c>
      <c r="P25">
        <v>5</v>
      </c>
      <c r="Q25">
        <v>8</v>
      </c>
      <c r="R25">
        <v>4</v>
      </c>
      <c r="S25">
        <v>5</v>
      </c>
      <c r="T25">
        <v>6</v>
      </c>
      <c r="U25">
        <v>2</v>
      </c>
      <c r="V25">
        <v>5</v>
      </c>
      <c r="W25">
        <v>8</v>
      </c>
      <c r="X25">
        <v>2</v>
      </c>
      <c r="Y25">
        <v>4</v>
      </c>
      <c r="Z25">
        <v>2</v>
      </c>
      <c r="AA25">
        <v>4</v>
      </c>
    </row>
    <row r="26" spans="1:27" x14ac:dyDescent="0.45">
      <c r="A26" t="str">
        <f>[1]!PySave("MatDF",[1]!MatDF(B37:D39,F37:H39,[1]!Tuple(B36,F36)))</f>
        <v>MatDF</v>
      </c>
      <c r="B26" t="str">
        <f>[1]!Repr([1]!L(A26))</f>
        <v xml:space="preserve">     X    SQ
0  1.0   1.0
1  2.0   4.0
2  3.0   9.0
3  4.0  16.0
4  5.0  25.0
5  6.0  36.0
6  7.0  49.0
7  8.0  64.0
8  9.0  81.0</v>
      </c>
      <c r="L26">
        <v>7</v>
      </c>
      <c r="M26">
        <v>8</v>
      </c>
      <c r="N26">
        <v>9</v>
      </c>
      <c r="O26">
        <v>3</v>
      </c>
      <c r="P26">
        <v>6</v>
      </c>
      <c r="Q26">
        <v>9</v>
      </c>
      <c r="R26">
        <v>7</v>
      </c>
      <c r="S26">
        <v>8</v>
      </c>
      <c r="T26">
        <v>9</v>
      </c>
      <c r="U26">
        <v>3</v>
      </c>
      <c r="V26">
        <v>6</v>
      </c>
      <c r="W26">
        <v>9</v>
      </c>
      <c r="X26">
        <v>3</v>
      </c>
      <c r="Y26">
        <v>9</v>
      </c>
      <c r="Z26">
        <v>3</v>
      </c>
      <c r="AA26">
        <v>9</v>
      </c>
    </row>
    <row r="27" spans="1:27" x14ac:dyDescent="0.45">
      <c r="A27" t="str">
        <f>[1]!PySave("MatDF (labels)",[1]!MatDF(B37:D39,F37:H39,"labels=",[1]!Tuple(B36,C36)))</f>
        <v>MatDF (labels)</v>
      </c>
      <c r="B27" t="str">
        <f>[1]!Repr([1]!L(A27))</f>
        <v xml:space="preserve">     X     Y
0  1.0   1.0
1  2.0   4.0
2  3.0   9.0
3  4.0  16.0
4  5.0  25.0
5  6.0  36.0
6  7.0  49.0
7  8.0  64.0
8  9.0  81.0</v>
      </c>
      <c r="L27" t="str">
        <v/>
      </c>
      <c r="M27" t="str">
        <v/>
      </c>
      <c r="N27" t="str">
        <v/>
      </c>
      <c r="X27">
        <v>4</v>
      </c>
      <c r="Y27">
        <v>16</v>
      </c>
      <c r="Z27">
        <v>4</v>
      </c>
      <c r="AA27">
        <v>16</v>
      </c>
    </row>
    <row r="28" spans="1:27" x14ac:dyDescent="0.45">
      <c r="A28" t="s">
        <v>16</v>
      </c>
      <c r="D28" t="s">
        <v>15</v>
      </c>
      <c r="L28" t="str">
        <v/>
      </c>
      <c r="M28" t="str">
        <v/>
      </c>
      <c r="N28" t="str">
        <v/>
      </c>
      <c r="X28">
        <v>5</v>
      </c>
      <c r="Y28">
        <v>25</v>
      </c>
      <c r="Z28">
        <v>5</v>
      </c>
      <c r="AA28">
        <v>25</v>
      </c>
    </row>
    <row r="29" spans="1:27" x14ac:dyDescent="0.45">
      <c r="A29" t="s">
        <v>5</v>
      </c>
      <c r="B29" t="s">
        <v>4</v>
      </c>
      <c r="D29" t="str">
        <f t="array" ref="D29:E32">[1]!DFColsExclude(A22,"Y")</f>
        <v>X</v>
      </c>
      <c r="E29" t="str">
        <v>Z</v>
      </c>
      <c r="X29">
        <v>6</v>
      </c>
      <c r="Y29">
        <v>36</v>
      </c>
      <c r="Z29">
        <v>6</v>
      </c>
      <c r="AA29">
        <v>36</v>
      </c>
    </row>
    <row r="30" spans="1:27" x14ac:dyDescent="0.45">
      <c r="A30">
        <f t="array" ref="A30:B32">[1]!DFCols(A22,A29:B29,"X",FALSE)</f>
        <v>9</v>
      </c>
      <c r="B30">
        <v>8</v>
      </c>
      <c r="D30">
        <v>1</v>
      </c>
      <c r="E30">
        <v>3</v>
      </c>
      <c r="X30">
        <v>7</v>
      </c>
      <c r="Y30">
        <v>49</v>
      </c>
      <c r="Z30">
        <v>7</v>
      </c>
      <c r="AA30">
        <v>49</v>
      </c>
    </row>
    <row r="31" spans="1:27" x14ac:dyDescent="0.45">
      <c r="A31">
        <v>6</v>
      </c>
      <c r="B31">
        <v>5</v>
      </c>
      <c r="D31">
        <v>4</v>
      </c>
      <c r="E31">
        <v>6</v>
      </c>
      <c r="X31">
        <v>8</v>
      </c>
      <c r="Y31">
        <v>64</v>
      </c>
      <c r="Z31">
        <v>8</v>
      </c>
      <c r="AA31">
        <v>64</v>
      </c>
    </row>
    <row r="32" spans="1:27" x14ac:dyDescent="0.45">
      <c r="A32">
        <v>3</v>
      </c>
      <c r="B32">
        <v>2</v>
      </c>
      <c r="D32">
        <v>7</v>
      </c>
      <c r="E32">
        <v>9</v>
      </c>
      <c r="X32">
        <v>9</v>
      </c>
      <c r="Y32">
        <v>81</v>
      </c>
      <c r="Z32">
        <v>9</v>
      </c>
      <c r="AA32">
        <v>81</v>
      </c>
    </row>
    <row r="33" spans="1:8" s="10" customFormat="1" x14ac:dyDescent="0.45">
      <c r="A33" s="10" t="s">
        <v>14</v>
      </c>
    </row>
    <row r="34" spans="1:8" s="11" customFormat="1" x14ac:dyDescent="0.45">
      <c r="A34" s="11" t="str">
        <f>[1]!PyLog(TRUE)</f>
        <v/>
      </c>
    </row>
    <row r="35" spans="1:8" x14ac:dyDescent="0.45">
      <c r="A35" s="6" t="s">
        <v>13</v>
      </c>
    </row>
    <row r="36" spans="1:8" x14ac:dyDescent="0.45">
      <c r="B36" t="s">
        <v>3</v>
      </c>
      <c r="C36" t="s">
        <v>4</v>
      </c>
      <c r="D36" t="s">
        <v>5</v>
      </c>
      <c r="F36" t="s">
        <v>6</v>
      </c>
    </row>
    <row r="37" spans="1:8" x14ac:dyDescent="0.45">
      <c r="A37" t="s">
        <v>0</v>
      </c>
      <c r="B37">
        <v>1</v>
      </c>
      <c r="C37">
        <v>2</v>
      </c>
      <c r="D37">
        <v>3</v>
      </c>
      <c r="F37">
        <f>POWER(B37,2)</f>
        <v>1</v>
      </c>
      <c r="G37">
        <f t="shared" ref="G37:G39" si="0">POWER(C37,2)</f>
        <v>4</v>
      </c>
      <c r="H37">
        <f t="shared" ref="H37:H39" si="1">POWER(D37,2)</f>
        <v>9</v>
      </c>
    </row>
    <row r="38" spans="1:8" x14ac:dyDescent="0.45">
      <c r="A38" t="s">
        <v>1</v>
      </c>
      <c r="B38">
        <v>4</v>
      </c>
      <c r="C38">
        <v>5</v>
      </c>
      <c r="D38">
        <v>6</v>
      </c>
      <c r="F38">
        <f t="shared" ref="F38:F39" si="2">POWER(B38,2)</f>
        <v>16</v>
      </c>
      <c r="G38">
        <f t="shared" si="0"/>
        <v>25</v>
      </c>
      <c r="H38">
        <f t="shared" si="1"/>
        <v>36</v>
      </c>
    </row>
    <row r="39" spans="1:8" x14ac:dyDescent="0.45">
      <c r="A39" t="s">
        <v>2</v>
      </c>
      <c r="B39">
        <v>7</v>
      </c>
      <c r="C39">
        <v>8</v>
      </c>
      <c r="D39">
        <v>9</v>
      </c>
      <c r="F39">
        <f t="shared" si="2"/>
        <v>49</v>
      </c>
      <c r="G39">
        <f t="shared" si="0"/>
        <v>64</v>
      </c>
      <c r="H39">
        <f t="shared" si="1"/>
        <v>81</v>
      </c>
    </row>
    <row r="41" spans="1:8" x14ac:dyDescent="0.45">
      <c r="A41" s="8">
        <v>41274</v>
      </c>
      <c r="B41" t="s">
        <v>3</v>
      </c>
      <c r="C41" t="s">
        <v>4</v>
      </c>
      <c r="D41" t="s">
        <v>5</v>
      </c>
      <c r="F41" t="s">
        <v>5</v>
      </c>
      <c r="G41" t="s">
        <v>4</v>
      </c>
      <c r="H41" t="s">
        <v>3</v>
      </c>
    </row>
    <row r="42" spans="1:8" x14ac:dyDescent="0.45">
      <c r="A42" s="9"/>
      <c r="B42">
        <f t="array" ref="B42:D44">[1]!DFCols(A22,B41:D41)</f>
        <v>1</v>
      </c>
      <c r="C42">
        <v>2</v>
      </c>
      <c r="D42">
        <v>3</v>
      </c>
      <c r="F42">
        <f t="array" ref="F42:H44">[1]!DFCols(A22,F41:H41)</f>
        <v>3</v>
      </c>
      <c r="G42">
        <v>2</v>
      </c>
      <c r="H42">
        <v>1</v>
      </c>
    </row>
    <row r="43" spans="1:8" x14ac:dyDescent="0.45">
      <c r="B43">
        <v>4</v>
      </c>
      <c r="C43">
        <v>5</v>
      </c>
      <c r="D43">
        <v>6</v>
      </c>
      <c r="F43">
        <v>6</v>
      </c>
      <c r="G43">
        <v>5</v>
      </c>
      <c r="H43">
        <v>4</v>
      </c>
    </row>
    <row r="44" spans="1:8" x14ac:dyDescent="0.45">
      <c r="B44">
        <v>7</v>
      </c>
      <c r="C44">
        <v>8</v>
      </c>
      <c r="D44">
        <v>9</v>
      </c>
      <c r="F44">
        <v>9</v>
      </c>
      <c r="G44">
        <v>8</v>
      </c>
      <c r="H44">
        <v>7</v>
      </c>
    </row>
  </sheetData>
  <mergeCells count="2">
    <mergeCell ref="A33:XFD33"/>
    <mergeCell ref="A34:XFD3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Grant</cp:lastModifiedBy>
  <dcterms:created xsi:type="dcterms:W3CDTF">2015-06-05T18:17:20Z</dcterms:created>
  <dcterms:modified xsi:type="dcterms:W3CDTF">2018-01-15T20:58:40Z</dcterms:modified>
</cp:coreProperties>
</file>