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g\Desktop\"/>
    </mc:Choice>
  </mc:AlternateContent>
  <bookViews>
    <workbookView xWindow="0" yWindow="0" windowWidth="17715" windowHeight="7740" xr2:uid="{00000000-000D-0000-FFFF-FFFF00000000}"/>
  </bookViews>
  <sheets>
    <sheet name="Test" sheetId="1" r:id="rId1"/>
  </sheets>
  <externalReferences>
    <externalReference r:id="rId2"/>
  </externalReference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" i="1" l="1"/>
  <c r="G27" i="1"/>
  <c r="F27" i="1"/>
  <c r="H26" i="1"/>
  <c r="G26" i="1"/>
  <c r="F26" i="1"/>
  <c r="H25" i="1"/>
  <c r="G25" i="1"/>
  <c r="F25" i="1"/>
  <c r="J11" i="1" a="1"/>
  <c r="G12" i="1" a="1"/>
  <c r="G11" i="1" a="1"/>
  <c r="A3" i="1"/>
  <c r="G3" i="1" s="1" a="1"/>
  <c r="A2" i="1"/>
  <c r="G2" i="1" s="1" a="1"/>
  <c r="A22" i="1"/>
  <c r="A20" i="1"/>
  <c r="Z11" i="1" s="1" a="1"/>
  <c r="A19" i="1"/>
  <c r="X10" i="1" s="1" a="1"/>
  <c r="A18" i="1"/>
  <c r="U15" i="1" s="1" a="1"/>
  <c r="A17" i="1"/>
  <c r="R14" i="1" s="1" a="1"/>
  <c r="A16" i="1"/>
  <c r="O13" i="1" s="1" a="1"/>
  <c r="A15" i="1"/>
  <c r="L12" i="1" s="1" a="1"/>
  <c r="A14" i="1"/>
  <c r="K12" i="1" s="1" a="1"/>
  <c r="A13" i="1"/>
  <c r="A12" i="1"/>
  <c r="A11" i="1"/>
  <c r="A10" i="1"/>
  <c r="G10" i="1" s="1" a="1"/>
  <c r="A9" i="1"/>
  <c r="G9" i="1" s="1" a="1"/>
  <c r="A8" i="1"/>
  <c r="G6" i="1" s="1" a="1"/>
  <c r="A7" i="1"/>
  <c r="A6" i="1"/>
  <c r="A5" i="1"/>
  <c r="A4" i="1"/>
  <c r="B30" i="1" a="1"/>
  <c r="F30" i="1" a="1"/>
  <c r="B15" i="1"/>
  <c r="Z11" i="1" l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U15" i="1"/>
  <c r="V15" i="1"/>
  <c r="W15" i="1"/>
  <c r="U16" i="1"/>
  <c r="V16" i="1"/>
  <c r="W16" i="1"/>
  <c r="U17" i="1"/>
  <c r="V17" i="1"/>
  <c r="W17" i="1"/>
  <c r="U18" i="1"/>
  <c r="V18" i="1"/>
  <c r="W18" i="1"/>
  <c r="R14" i="1"/>
  <c r="S14" i="1"/>
  <c r="T14" i="1"/>
  <c r="R15" i="1"/>
  <c r="S15" i="1"/>
  <c r="T15" i="1"/>
  <c r="R16" i="1"/>
  <c r="S16" i="1"/>
  <c r="T16" i="1"/>
  <c r="R17" i="1"/>
  <c r="S17" i="1"/>
  <c r="T17" i="1"/>
  <c r="O13" i="1"/>
  <c r="P13" i="1"/>
  <c r="Q13" i="1"/>
  <c r="O14" i="1"/>
  <c r="P14" i="1"/>
  <c r="Q14" i="1"/>
  <c r="O15" i="1"/>
  <c r="P15" i="1"/>
  <c r="Q15" i="1"/>
  <c r="O16" i="1"/>
  <c r="P16" i="1"/>
  <c r="Q16" i="1"/>
  <c r="L12" i="1"/>
  <c r="M12" i="1"/>
  <c r="N12" i="1"/>
  <c r="L13" i="1"/>
  <c r="M13" i="1"/>
  <c r="N13" i="1"/>
  <c r="L14" i="1"/>
  <c r="M14" i="1"/>
  <c r="N14" i="1"/>
  <c r="L15" i="1"/>
  <c r="M15" i="1"/>
  <c r="N15" i="1"/>
  <c r="K12" i="1"/>
  <c r="K13" i="1"/>
  <c r="K14" i="1"/>
  <c r="J11" i="1"/>
  <c r="J12" i="1"/>
  <c r="J13" i="1"/>
  <c r="H12" i="1"/>
  <c r="G12" i="1"/>
  <c r="G11" i="1"/>
  <c r="H11" i="1"/>
  <c r="I10" i="1"/>
  <c r="H10" i="1"/>
  <c r="G10" i="1"/>
  <c r="G9" i="1"/>
  <c r="H9" i="1"/>
  <c r="I9" i="1"/>
  <c r="G6" i="1"/>
  <c r="H6" i="1"/>
  <c r="I6" i="1"/>
  <c r="G7" i="1"/>
  <c r="H7" i="1"/>
  <c r="I7" i="1"/>
  <c r="G8" i="1"/>
  <c r="H8" i="1"/>
  <c r="I8" i="1"/>
  <c r="G3" i="1"/>
  <c r="H3" i="1"/>
  <c r="I3" i="1"/>
  <c r="J3" i="1"/>
  <c r="K3" i="1"/>
  <c r="L3" i="1"/>
  <c r="M3" i="1"/>
  <c r="G2" i="1"/>
  <c r="H2" i="1"/>
  <c r="I2" i="1"/>
  <c r="J2" i="1"/>
  <c r="K2" i="1"/>
  <c r="L2" i="1"/>
  <c r="M2" i="1"/>
  <c r="F30" i="1"/>
  <c r="G30" i="1"/>
  <c r="H30" i="1"/>
  <c r="F31" i="1"/>
  <c r="G31" i="1"/>
  <c r="H31" i="1"/>
  <c r="F32" i="1"/>
  <c r="G32" i="1"/>
  <c r="H32" i="1"/>
  <c r="B30" i="1"/>
  <c r="C30" i="1"/>
  <c r="D30" i="1"/>
  <c r="B31" i="1"/>
  <c r="C31" i="1"/>
  <c r="D31" i="1"/>
  <c r="B32" i="1"/>
  <c r="C32" i="1"/>
  <c r="D32" i="1"/>
  <c r="B3" i="1"/>
  <c r="B4" i="1"/>
  <c r="B5" i="1"/>
  <c r="B6" i="1"/>
  <c r="B7" i="1"/>
  <c r="B8" i="1"/>
  <c r="B9" i="1"/>
  <c r="B10" i="1"/>
  <c r="B11" i="1"/>
  <c r="B12" i="1"/>
  <c r="B13" i="1"/>
  <c r="B14" i="1"/>
  <c r="B16" i="1"/>
  <c r="B17" i="1"/>
  <c r="B18" i="1"/>
  <c r="B19" i="1"/>
  <c r="B20" i="1"/>
  <c r="B2" i="1"/>
</calcChain>
</file>

<file path=xl/sharedStrings.xml><?xml version="1.0" encoding="utf-8"?>
<sst xmlns="http://schemas.openxmlformats.org/spreadsheetml/2006/main" count="16" uniqueCount="10">
  <si>
    <t>A</t>
  </si>
  <si>
    <t>B</t>
  </si>
  <si>
    <t>C</t>
  </si>
  <si>
    <t>X</t>
  </si>
  <si>
    <t>Y</t>
  </si>
  <si>
    <t>Z</t>
  </si>
  <si>
    <t>SQ</t>
  </si>
  <si>
    <t>PyLog call on the next line:</t>
  </si>
  <si>
    <t>Formula</t>
  </si>
  <si>
    <t>Repr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</si>
</sst>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0" fillId="0" borderId="0" xfId="0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g/Miniconda3/envs/axltest/ax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lDF"/>
      <definedName name="ColV"/>
      <definedName name="DFCols"/>
      <definedName name="Dict"/>
      <definedName name="L"/>
      <definedName name="List"/>
      <definedName name="MatDF"/>
      <definedName name="Matrix"/>
      <definedName name="P"/>
      <definedName name="PyLog"/>
      <definedName name="PySave"/>
      <definedName name="Repr"/>
      <definedName name="RowDF"/>
      <definedName name="RowV"/>
      <definedName name="Slice"/>
      <definedName name="Tuple"/>
      <definedName name="Vecto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2"/>
  <sheetViews>
    <sheetView tabSelected="1" zoomScaleNormal="100" workbookViewId="0">
      <selection activeCell="H12" sqref="H12"/>
    </sheetView>
  </sheetViews>
  <sheetFormatPr defaultRowHeight="14.25" x14ac:dyDescent="0.45"/>
  <cols>
    <col min="1" max="1" width="26" customWidth="1"/>
    <col min="5" max="5" width="9.86328125" customWidth="1"/>
  </cols>
  <sheetData>
    <row r="1" spans="1:27" x14ac:dyDescent="0.45">
      <c r="A1" t="s">
        <v>8</v>
      </c>
      <c r="B1" t="s">
        <v>9</v>
      </c>
    </row>
    <row r="2" spans="1:27" s="1" customFormat="1" x14ac:dyDescent="0.45">
      <c r="A2" t="str">
        <f>[1]!PySave("Tuple",[1]!Tuple(A25,B25,C25,D25,F25,G25,H25))</f>
        <v>Tuple</v>
      </c>
      <c r="B2" t="str">
        <f>[1]!Repr([1]!L(A2))</f>
        <v>('A', 1.0, 2.0, 3.0, 1.0, 4.0, 9.0)</v>
      </c>
      <c r="G2" s="1" t="str">
        <f t="array" ref="G2:M2">[1]!P([1]!L(A2))</f>
        <v>A</v>
      </c>
      <c r="H2" s="1">
        <v>1</v>
      </c>
      <c r="I2" s="1">
        <v>2</v>
      </c>
      <c r="J2" s="1">
        <v>3</v>
      </c>
      <c r="K2" s="1">
        <v>1</v>
      </c>
      <c r="L2" s="1">
        <v>4</v>
      </c>
      <c r="M2" s="1">
        <v>9</v>
      </c>
    </row>
    <row r="3" spans="1:27" x14ac:dyDescent="0.45">
      <c r="A3" t="str">
        <f>[1]!PySave("List",[1]!List(A26,B26,C26,D26,F26,G26,H26))</f>
        <v>List</v>
      </c>
      <c r="B3" t="str">
        <f>[1]!Repr([1]!L(A3))</f>
        <v>['B', 4.0, 5.0, 6.0, 16.0, 25.0, 36.0]</v>
      </c>
      <c r="G3" s="2" t="str">
        <f t="array" ref="G3:M3">[1]!P([1]!L(A3))</f>
        <v>B</v>
      </c>
      <c r="H3">
        <v>4</v>
      </c>
      <c r="I3">
        <v>5</v>
      </c>
      <c r="J3">
        <v>6</v>
      </c>
      <c r="K3">
        <v>16</v>
      </c>
      <c r="L3">
        <v>25</v>
      </c>
      <c r="M3">
        <v>36</v>
      </c>
    </row>
    <row r="4" spans="1:27" x14ac:dyDescent="0.45">
      <c r="A4" t="str">
        <f>[1]!PySave("Slice",[1]!Slice(B25,B26,C25))</f>
        <v>Slice</v>
      </c>
      <c r="B4" t="str">
        <f>[1]!Repr([1]!L(A4))</f>
        <v>slice(1.0, 4.0, 2.0)</v>
      </c>
    </row>
    <row r="5" spans="1:27" x14ac:dyDescent="0.45">
      <c r="A5" t="str">
        <f>[1]!PySave("Dict (alternating args)",[1]!Dict(A25,B25,A26,B26,A27,[1]!Tuple(B27,C27)))</f>
        <v>Dict (alternating args)</v>
      </c>
      <c r="B5" t="str">
        <f>[1]!Repr([1]!L(A5))</f>
        <v>{'A': 1.0, 'B': 4.0, 'C': (7.0, 8.0)}</v>
      </c>
    </row>
    <row r="6" spans="1:27" x14ac:dyDescent="0.45">
      <c r="A6" t="str">
        <f>[1]!PySave("Dict (by rows)",[1]!Dict(A25:B27))</f>
        <v>Dict (by rows)</v>
      </c>
      <c r="B6" t="str">
        <f>[1]!Repr([1]!L(A6))</f>
        <v>{'A': 1.0, 'B': 4.0, 'C': 7.0}</v>
      </c>
      <c r="G6">
        <f t="array" ref="G6:I8">[1]!P([1]!L(A8))</f>
        <v>1</v>
      </c>
      <c r="H6">
        <v>2</v>
      </c>
      <c r="I6">
        <v>3</v>
      </c>
    </row>
    <row r="7" spans="1:27" x14ac:dyDescent="0.45">
      <c r="A7" t="str">
        <f>[1]!PySave("Dict (two vectors)",[1]!Dict(B24:D24,B25:D25))</f>
        <v>Dict (two vectors)</v>
      </c>
      <c r="B7" t="str">
        <f>[1]!Repr([1]!L(A7))</f>
        <v>{'X': 1.0, 'Y': 2.0, 'Z': 3.0}</v>
      </c>
      <c r="G7">
        <v>4</v>
      </c>
      <c r="H7">
        <v>5</v>
      </c>
      <c r="I7">
        <v>6</v>
      </c>
    </row>
    <row r="8" spans="1:27" x14ac:dyDescent="0.45">
      <c r="A8" t="str">
        <f>[1]!PySave("Matrix", [1]!Matrix(B25:D27))</f>
        <v>Matrix</v>
      </c>
      <c r="B8" t="str">
        <f>[1]!Repr([1]!L(A8))</f>
        <v>matrix([[ 1.,  2.,  3.],
        [ 4.,  5.,  6.],
        [ 7.,  8.,  9.]])</v>
      </c>
      <c r="G8">
        <v>7</v>
      </c>
      <c r="H8">
        <v>8</v>
      </c>
      <c r="I8">
        <v>9</v>
      </c>
    </row>
    <row r="9" spans="1:27" x14ac:dyDescent="0.45">
      <c r="A9" t="str">
        <f>[1]!PySave("Vector (from row)",[1]!Vector(B24:D24))</f>
        <v>Vector (from row)</v>
      </c>
      <c r="B9" t="str">
        <f>[1]!Repr([1]!L(A9))</f>
        <v>array(['X', 'Y', 'Z'],
      dtype='&lt;U1')</v>
      </c>
      <c r="G9" t="str">
        <f t="array" ref="G9:I9">[1]!P([1]!L(A9))</f>
        <v>X</v>
      </c>
      <c r="H9" t="str">
        <v>Y</v>
      </c>
      <c r="I9" t="str">
        <v>Z</v>
      </c>
    </row>
    <row r="10" spans="1:27" x14ac:dyDescent="0.45">
      <c r="A10" t="str">
        <f>[1]!PySave("Vector (from col)",[1]!Vector(B25:B27))</f>
        <v>Vector (from col)</v>
      </c>
      <c r="B10" t="str">
        <f>[1]!Repr([1]!L(A10))</f>
        <v>array([ 1.,  4.,  7.])</v>
      </c>
      <c r="G10">
        <f t="array" ref="G10:I10">[1]!P([1]!L(A10))</f>
        <v>1</v>
      </c>
      <c r="H10">
        <v>4</v>
      </c>
      <c r="I10">
        <v>7</v>
      </c>
      <c r="X10" t="str">
        <f t="array" ref="X10:Y19">[1]!P([1]!L(A19))</f>
        <v>X</v>
      </c>
      <c r="Y10" t="str">
        <v>SQ</v>
      </c>
    </row>
    <row r="11" spans="1:27" x14ac:dyDescent="0.45">
      <c r="A11" t="str">
        <f>[1]!PySave("RowV (from col)",[1]!RowV(A25:A26))</f>
        <v>RowV (from col)</v>
      </c>
      <c r="B11" t="str">
        <f>[1]!Repr([1]!L(A11))</f>
        <v>array([['A', 'B']],
      dtype='&lt;U1')</v>
      </c>
      <c r="G11" t="str">
        <f t="array" ref="G11:H11">[1]!P([1]!L(A11))</f>
        <v>A</v>
      </c>
      <c r="H11" t="str">
        <v>B</v>
      </c>
      <c r="J11">
        <f t="array" ref="J11:J13">[1]!P([1]!L(A13))</f>
        <v>1</v>
      </c>
      <c r="X11">
        <v>1</v>
      </c>
      <c r="Y11">
        <v>1</v>
      </c>
      <c r="Z11" t="str">
        <f t="array" ref="Z11:AA20">[1]!P([1]!L(A20))</f>
        <v>X</v>
      </c>
      <c r="AA11" t="str">
        <v>Y</v>
      </c>
    </row>
    <row r="12" spans="1:27" x14ac:dyDescent="0.45">
      <c r="A12" t="str">
        <f>[1]!PySave("RowV (from row)",[1]!RowV(A25:B25))</f>
        <v>RowV (from row)</v>
      </c>
      <c r="B12" t="str">
        <f>[1]!Repr([1]!L(A12))</f>
        <v>array([['A', '1.0']],
      dtype='&lt;U3')</v>
      </c>
      <c r="G12" t="str">
        <f t="array" ref="G12:H12">[1]!P([1]!L(A12))</f>
        <v>A</v>
      </c>
      <c r="H12" t="str">
        <v>1.0</v>
      </c>
      <c r="J12">
        <v>4</v>
      </c>
      <c r="K12">
        <f t="array" ref="K12:K14">[1]!P([1]!L(A14))</f>
        <v>4</v>
      </c>
      <c r="L12" t="str">
        <f t="array" ref="L12:N15">[1]!P([1]!L(A15))</f>
        <v>X</v>
      </c>
      <c r="M12" t="str">
        <v>Y</v>
      </c>
      <c r="N12" t="str">
        <v>Z</v>
      </c>
      <c r="X12">
        <v>2</v>
      </c>
      <c r="Y12">
        <v>4</v>
      </c>
      <c r="Z12">
        <v>1</v>
      </c>
      <c r="AA12">
        <v>1</v>
      </c>
    </row>
    <row r="13" spans="1:27" x14ac:dyDescent="0.45">
      <c r="A13" t="str">
        <f>[1]!PySave("ColV (from col)",[1]!ColV(B25:B27))</f>
        <v>ColV (from col)</v>
      </c>
      <c r="B13" t="str">
        <f>[1]!Repr([1]!L(A13))</f>
        <v>array([[ 1.],
       [ 4.],
       [ 7.]])</v>
      </c>
      <c r="J13">
        <v>7</v>
      </c>
      <c r="K13">
        <v>5</v>
      </c>
      <c r="L13">
        <v>1</v>
      </c>
      <c r="M13">
        <v>2</v>
      </c>
      <c r="N13">
        <v>3</v>
      </c>
      <c r="O13" t="str">
        <f t="array" ref="O13:Q16">[1]!P([1]!L(A16))</f>
        <v>A</v>
      </c>
      <c r="P13" t="str">
        <v>B</v>
      </c>
      <c r="Q13" t="str">
        <v>C</v>
      </c>
      <c r="X13">
        <v>3</v>
      </c>
      <c r="Y13">
        <v>9</v>
      </c>
      <c r="Z13">
        <v>2</v>
      </c>
      <c r="AA13">
        <v>4</v>
      </c>
    </row>
    <row r="14" spans="1:27" x14ac:dyDescent="0.45">
      <c r="A14" t="str">
        <f>[1]!PySave("ColV (from row)",[1]!ColV(B26:D26))</f>
        <v>ColV (from row)</v>
      </c>
      <c r="B14" t="str">
        <f>[1]!Repr([1]!L(A14))</f>
        <v>array([[ 4.],
       [ 5.],
       [ 6.]])</v>
      </c>
      <c r="K14">
        <v>6</v>
      </c>
      <c r="L14">
        <v>4</v>
      </c>
      <c r="M14">
        <v>5</v>
      </c>
      <c r="N14">
        <v>6</v>
      </c>
      <c r="O14">
        <v>1</v>
      </c>
      <c r="P14">
        <v>4</v>
      </c>
      <c r="Q14">
        <v>7</v>
      </c>
      <c r="R14" t="str">
        <f t="array" ref="R14:T17">[1]!P([1]!L(A17))</f>
        <v>X</v>
      </c>
      <c r="S14" t="str">
        <v>Y</v>
      </c>
      <c r="T14" t="str">
        <v>Z</v>
      </c>
      <c r="X14">
        <v>4</v>
      </c>
      <c r="Y14">
        <v>16</v>
      </c>
      <c r="Z14">
        <v>3</v>
      </c>
      <c r="AA14">
        <v>9</v>
      </c>
    </row>
    <row r="15" spans="1:27" x14ac:dyDescent="0.45">
      <c r="A15" t="str">
        <f>[1]!PySave("ColDF", [1]!ColDF(B24:D27))</f>
        <v>ColDF</v>
      </c>
      <c r="B15" t="str">
        <f>[1]!Repr([1]!L(A15))</f>
        <v xml:space="preserve">     X    Y    Z
0  1.0  2.0  3.0
1  4.0  5.0  6.0
2  7.0  8.0  9.0</v>
      </c>
      <c r="L15">
        <v>7</v>
      </c>
      <c r="M15">
        <v>8</v>
      </c>
      <c r="N15">
        <v>9</v>
      </c>
      <c r="O15">
        <v>2</v>
      </c>
      <c r="P15">
        <v>5</v>
      </c>
      <c r="Q15">
        <v>8</v>
      </c>
      <c r="R15">
        <v>1</v>
      </c>
      <c r="S15">
        <v>2</v>
      </c>
      <c r="T15">
        <v>3</v>
      </c>
      <c r="U15" t="str">
        <f t="array" ref="U15:W18">[1]!P([1]!L(A18))</f>
        <v>A</v>
      </c>
      <c r="V15" t="str">
        <v>B</v>
      </c>
      <c r="W15" t="str">
        <v>C</v>
      </c>
      <c r="X15">
        <v>5</v>
      </c>
      <c r="Y15">
        <v>25</v>
      </c>
      <c r="Z15">
        <v>4</v>
      </c>
      <c r="AA15">
        <v>16</v>
      </c>
    </row>
    <row r="16" spans="1:27" x14ac:dyDescent="0.45">
      <c r="A16" t="str">
        <f>[1]!PySave("RowDF",[1]!RowDF(A25:D27))</f>
        <v>RowDF</v>
      </c>
      <c r="B16" t="str">
        <f>[1]!Repr([1]!L(A16))</f>
        <v xml:space="preserve">     A    B    C
0  1.0  4.0  7.0
1  2.0  5.0  8.0
2  3.0  6.0  9.0</v>
      </c>
      <c r="O16">
        <v>3</v>
      </c>
      <c r="P16">
        <v>6</v>
      </c>
      <c r="Q16">
        <v>9</v>
      </c>
      <c r="R16">
        <v>4</v>
      </c>
      <c r="S16">
        <v>5</v>
      </c>
      <c r="T16">
        <v>6</v>
      </c>
      <c r="U16">
        <v>1</v>
      </c>
      <c r="V16">
        <v>4</v>
      </c>
      <c r="W16">
        <v>7</v>
      </c>
      <c r="X16">
        <v>6</v>
      </c>
      <c r="Y16">
        <v>36</v>
      </c>
      <c r="Z16">
        <v>5</v>
      </c>
      <c r="AA16">
        <v>25</v>
      </c>
    </row>
    <row r="17" spans="1:27" x14ac:dyDescent="0.45">
      <c r="A17" t="str">
        <f>[1]!PySave("ColDF (labels)",[1]!ColDF(B25:D27,B24:D24))</f>
        <v>ColDF (labels)</v>
      </c>
      <c r="B17" t="str">
        <f>[1]!Repr([1]!L(A17))</f>
        <v xml:space="preserve">     X    Y    Z
0  1.0  2.0  3.0
1  4.0  5.0  6.0
2  7.0  8.0  9.0</v>
      </c>
      <c r="R17">
        <v>7</v>
      </c>
      <c r="S17">
        <v>8</v>
      </c>
      <c r="T17">
        <v>9</v>
      </c>
      <c r="U17">
        <v>2</v>
      </c>
      <c r="V17">
        <v>5</v>
      </c>
      <c r="W17">
        <v>8</v>
      </c>
      <c r="X17">
        <v>7</v>
      </c>
      <c r="Y17">
        <v>49</v>
      </c>
      <c r="Z17">
        <v>6</v>
      </c>
      <c r="AA17">
        <v>36</v>
      </c>
    </row>
    <row r="18" spans="1:27" x14ac:dyDescent="0.45">
      <c r="A18" t="str">
        <f>[1]!PySave("RowDF (labels)",[1]!RowDF(B25:D27,A25:A27))</f>
        <v>RowDF (labels)</v>
      </c>
      <c r="B18" t="str">
        <f>[1]!Repr([1]!L(A18))</f>
        <v xml:space="preserve">     A    B    C
0  1.0  4.0  7.0
1  2.0  5.0  8.0
2  3.0  6.0  9.0</v>
      </c>
      <c r="U18">
        <v>3</v>
      </c>
      <c r="V18">
        <v>6</v>
      </c>
      <c r="W18">
        <v>9</v>
      </c>
      <c r="X18">
        <v>8</v>
      </c>
      <c r="Y18">
        <v>64</v>
      </c>
      <c r="Z18">
        <v>7</v>
      </c>
      <c r="AA18">
        <v>49</v>
      </c>
    </row>
    <row r="19" spans="1:27" x14ac:dyDescent="0.45">
      <c r="A19" t="str">
        <f>[1]!PySave("MatDF",[1]!MatDF(B25:D27,F25:H27,[1]!Tuple(B24,F24)))</f>
        <v>MatDF</v>
      </c>
      <c r="B19" t="str">
        <f>[1]!Repr([1]!L(A19))</f>
        <v xml:space="preserve">     X    SQ
0  1.0   1.0
1  2.0   4.0
2  3.0   9.0
3  4.0  16.0
4  5.0  25.0
5  6.0  36.0
6  7.0  49.0
7  8.0  64.0
8  9.0  81.0</v>
      </c>
      <c r="X19">
        <v>9</v>
      </c>
      <c r="Y19">
        <v>81</v>
      </c>
      <c r="Z19">
        <v>8</v>
      </c>
      <c r="AA19">
        <v>64</v>
      </c>
    </row>
    <row r="20" spans="1:27" x14ac:dyDescent="0.45">
      <c r="A20" t="str">
        <f>[1]!PySave("MatDF (labels)",[1]!MatDF(B25:D27,F25:H27,"labels=",[1]!Tuple(B24,C24)))</f>
        <v>MatDF (labels)</v>
      </c>
      <c r="B20" t="str">
        <f>[1]!Repr([1]!L(A20))</f>
        <v xml:space="preserve">     X     Y
0  1.0   1.0
1  2.0   4.0
2  3.0   9.0
3  4.0  16.0
4  5.0  25.0
5  6.0  36.0
6  7.0  49.0
7  8.0  64.0
8  9.0  81.0</v>
      </c>
      <c r="Z20">
        <v>9</v>
      </c>
      <c r="AA20">
        <v>81</v>
      </c>
    </row>
    <row r="21" spans="1:27" s="3" customFormat="1" x14ac:dyDescent="0.45">
      <c r="A21" s="3" t="s">
        <v>7</v>
      </c>
    </row>
    <row r="22" spans="1:27" s="3" customFormat="1" x14ac:dyDescent="0.45">
      <c r="A22" s="3" t="str">
        <f>[1]!PyLog(TRUE)</f>
        <v>List = axlm.List('B',4.0,5.0,6.0,16.0,25.0,36.0)
_2 = axlm.ToExcel('List',1,1,True)
_1 = axlm.Grab(List)
_2 = axlm.ToExcel(_1,1,7,True)
Tuple = axlm.Tuple('A',1.0,2.0,3.0,1.0,4.0,9.0)
_2 = axlm.ToExcel('Tuple',1,1,True)
_1 = axlm.Grab(Tuple)
_2 = axlm.ToExcel(_1,1,7,True)</v>
      </c>
    </row>
    <row r="24" spans="1:27" x14ac:dyDescent="0.45">
      <c r="B24" t="s">
        <v>3</v>
      </c>
      <c r="C24" t="s">
        <v>4</v>
      </c>
      <c r="D24" t="s">
        <v>5</v>
      </c>
      <c r="F24" t="s">
        <v>6</v>
      </c>
    </row>
    <row r="25" spans="1:27" x14ac:dyDescent="0.45">
      <c r="A25" t="s">
        <v>0</v>
      </c>
      <c r="B25">
        <v>1</v>
      </c>
      <c r="C25">
        <v>2</v>
      </c>
      <c r="D25">
        <v>3</v>
      </c>
      <c r="F25">
        <f>POWER(B25,2)</f>
        <v>1</v>
      </c>
      <c r="G25">
        <f t="shared" ref="G25:G27" si="0">POWER(C25,2)</f>
        <v>4</v>
      </c>
      <c r="H25">
        <f t="shared" ref="H25:H27" si="1">POWER(D25,2)</f>
        <v>9</v>
      </c>
    </row>
    <row r="26" spans="1:27" x14ac:dyDescent="0.45">
      <c r="A26" t="s">
        <v>1</v>
      </c>
      <c r="B26">
        <v>4</v>
      </c>
      <c r="C26">
        <v>5</v>
      </c>
      <c r="D26">
        <v>6</v>
      </c>
      <c r="F26">
        <f t="shared" ref="F26:F27" si="2">POWER(B26,2)</f>
        <v>16</v>
      </c>
      <c r="G26">
        <f t="shared" si="0"/>
        <v>25</v>
      </c>
      <c r="H26">
        <f t="shared" si="1"/>
        <v>36</v>
      </c>
    </row>
    <row r="27" spans="1:27" x14ac:dyDescent="0.45">
      <c r="A27" t="s">
        <v>2</v>
      </c>
      <c r="B27">
        <v>7</v>
      </c>
      <c r="C27">
        <v>8</v>
      </c>
      <c r="D27">
        <v>9</v>
      </c>
      <c r="F27">
        <f t="shared" si="2"/>
        <v>49</v>
      </c>
      <c r="G27">
        <f t="shared" si="0"/>
        <v>64</v>
      </c>
      <c r="H27">
        <f t="shared" si="1"/>
        <v>81</v>
      </c>
    </row>
    <row r="29" spans="1:27" x14ac:dyDescent="0.45">
      <c r="B29" t="s">
        <v>3</v>
      </c>
      <c r="C29" t="s">
        <v>4</v>
      </c>
      <c r="D29" t="s">
        <v>5</v>
      </c>
      <c r="F29" t="s">
        <v>5</v>
      </c>
      <c r="G29" t="s">
        <v>4</v>
      </c>
      <c r="H29" t="s">
        <v>3</v>
      </c>
    </row>
    <row r="30" spans="1:27" x14ac:dyDescent="0.45">
      <c r="B30">
        <f t="array" ref="B30:D32">[1]!DFCols(A15,B29:D29)</f>
        <v>1</v>
      </c>
      <c r="C30">
        <v>2</v>
      </c>
      <c r="D30">
        <v>3</v>
      </c>
      <c r="F30">
        <f t="array" ref="F30:H32">[1]!DFCols(A15,F29:H29)</f>
        <v>3</v>
      </c>
      <c r="G30">
        <v>2</v>
      </c>
      <c r="H30">
        <v>1</v>
      </c>
    </row>
    <row r="31" spans="1:27" x14ac:dyDescent="0.45">
      <c r="B31">
        <v>4</v>
      </c>
      <c r="C31">
        <v>5</v>
      </c>
      <c r="D31">
        <v>6</v>
      </c>
      <c r="F31">
        <v>6</v>
      </c>
      <c r="G31">
        <v>5</v>
      </c>
      <c r="H31">
        <v>4</v>
      </c>
    </row>
    <row r="32" spans="1:27" x14ac:dyDescent="0.45">
      <c r="B32">
        <v>7</v>
      </c>
      <c r="C32">
        <v>8</v>
      </c>
      <c r="D32">
        <v>9</v>
      </c>
      <c r="F32">
        <v>9</v>
      </c>
      <c r="G32">
        <v>8</v>
      </c>
      <c r="H32">
        <v>7</v>
      </c>
    </row>
  </sheetData>
  <mergeCells count="2">
    <mergeCell ref="A21:XFD21"/>
    <mergeCell ref="A22:XFD2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Grant</cp:lastModifiedBy>
  <dcterms:created xsi:type="dcterms:W3CDTF">2015-06-05T18:17:20Z</dcterms:created>
  <dcterms:modified xsi:type="dcterms:W3CDTF">2018-01-12T20:01:23Z</dcterms:modified>
</cp:coreProperties>
</file>